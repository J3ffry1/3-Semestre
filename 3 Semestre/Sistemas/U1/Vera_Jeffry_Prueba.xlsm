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ESPE-SD\Downloads\"/>
    </mc:Choice>
  </mc:AlternateContent>
  <xr:revisionPtr revIDLastSave="0" documentId="13_ncr:1_{B5CDE75E-252F-4D22-8648-EE6CECD65651}" xr6:coauthVersionLast="47" xr6:coauthVersionMax="47" xr10:uidLastSave="{00000000-0000-0000-0000-000000000000}"/>
  <bookViews>
    <workbookView xWindow="-120" yWindow="-120" windowWidth="29040" windowHeight="15720" xr2:uid="{22351E03-F392-43C8-AA36-03845F6C2311}"/>
  </bookViews>
  <sheets>
    <sheet name="lol" sheetId="1" r:id="rId1"/>
    <sheet name="datos" sheetId="2" r:id="rId2"/>
    <sheet name="RESUMEN_NOTA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7" i="1" l="1"/>
  <c r="B8" i="1"/>
  <c r="B9" i="1"/>
  <c r="B10" i="1"/>
  <c r="B7" i="1"/>
  <c r="E8" i="1"/>
  <c r="E9" i="1"/>
  <c r="E10" i="1"/>
  <c r="E7" i="1"/>
  <c r="C10" i="1"/>
  <c r="C8" i="1"/>
  <c r="C9" i="1"/>
</calcChain>
</file>

<file path=xl/sharedStrings.xml><?xml version="1.0" encoding="utf-8"?>
<sst xmlns="http://schemas.openxmlformats.org/spreadsheetml/2006/main" count="196" uniqueCount="20">
  <si>
    <t>INGRESO DE NOTAS ITIN</t>
  </si>
  <si>
    <t xml:space="preserve">NOMBRE </t>
  </si>
  <si>
    <t>CARRERA</t>
  </si>
  <si>
    <t>NIVEL</t>
  </si>
  <si>
    <t>NOTA</t>
  </si>
  <si>
    <t xml:space="preserve">DIEGO  MARADONA </t>
  </si>
  <si>
    <t>KITU DIAZ</t>
  </si>
  <si>
    <t>REY PELE</t>
  </si>
  <si>
    <t>LEO MESSI</t>
  </si>
  <si>
    <t>ITIN</t>
  </si>
  <si>
    <t>AGRO</t>
  </si>
  <si>
    <t>BIO</t>
  </si>
  <si>
    <t>PRIMERO</t>
  </si>
  <si>
    <t>SEPTIMO</t>
  </si>
  <si>
    <t>SEGUNDO</t>
  </si>
  <si>
    <t>ESTADO</t>
  </si>
  <si>
    <t>ARUEBA</t>
  </si>
  <si>
    <t xml:space="preserve">REPRUEBA </t>
  </si>
  <si>
    <t>APRUEBA</t>
  </si>
  <si>
    <t>REPRUEBA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</si>
</sst>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1"/>
      <color indexed="8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3" borderId="0" xfId="0" applyFill="1"/>
    <xf numFmtId="0" fontId="0" fillId="2" borderId="0" xfId="0" applyFill="1" applyAlignment="1">
      <alignment horizontal="center" wrapText="1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</xdr:row>
          <xdr:rowOff>142875</xdr:rowOff>
        </xdr:from>
        <xdr:to>
          <xdr:col>2</xdr:col>
          <xdr:colOff>657225</xdr:colOff>
          <xdr:row>3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Aptos Narrow"/>
                </a:rPr>
                <a:t>CLAVE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</xdr:row>
          <xdr:rowOff>171450</xdr:rowOff>
        </xdr:from>
        <xdr:to>
          <xdr:col>4</xdr:col>
          <xdr:colOff>190500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1</xdr:row>
          <xdr:rowOff>171450</xdr:rowOff>
        </xdr:from>
        <xdr:to>
          <xdr:col>5</xdr:col>
          <xdr:colOff>533400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Aptos Narrow"/>
                </a:rPr>
                <a:t>GRABAR NOTAS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841A-2CB7-4076-9405-65E6E75A97D7}">
  <sheetPr codeName="Hoja1"/>
  <dimension ref="A1:E10"/>
  <sheetViews>
    <sheetView tabSelected="1" workbookViewId="0">
      <selection activeCell="K16" sqref="K16"/>
    </sheetView>
  </sheetViews>
  <sheetFormatPr baseColWidth="10" defaultRowHeight="15" x14ac:dyDescent="0.25"/>
  <cols>
    <col min="1" max="1" width="21.28515625" customWidth="1"/>
    <col min="5" max="5" width="14.42578125" bestFit="1" customWidth="1"/>
  </cols>
  <sheetData>
    <row r="1" spans="1:5" x14ac:dyDescent="0.25">
      <c r="A1" s="4" t="s">
        <v>0</v>
      </c>
    </row>
    <row r="2" spans="1:5" x14ac:dyDescent="0.25">
      <c r="A2" s="4"/>
    </row>
    <row r="6" spans="1:5" x14ac:dyDescent="0.25">
      <c r="A6" s="2" t="s">
        <v>1</v>
      </c>
      <c r="B6" s="2" t="s">
        <v>2</v>
      </c>
      <c r="C6" s="2" t="s">
        <v>3</v>
      </c>
      <c r="D6" s="2" t="s">
        <v>4</v>
      </c>
      <c r="E6" s="2" t="s">
        <v>15</v>
      </c>
    </row>
    <row r="7" spans="1:5" x14ac:dyDescent="0.25">
      <c r="A7" s="1" t="s">
        <v>5</v>
      </c>
      <c r="B7" s="1" t="str">
        <f>IFERROR(INDEX(datos!B2:B5,MATCH(A7,datos!A2:A13,0)),"")</f>
        <v>ITIN</v>
      </c>
      <c r="C7" s="1" t="str">
        <f>IFERROR(INDEX(datos!$C$2:$C$5,MATCH(lol!A7,datos!$A$2:$A$5)),"")</f>
        <v>PRIMERO</v>
      </c>
      <c r="D7" s="5">
        <v>1</v>
      </c>
      <c r="E7" s="1" t="str">
        <f>IF(D7&gt;=20,"APRUEBA","REPRUEBA")</f>
        <v>REPRUEBA</v>
      </c>
    </row>
    <row r="8" spans="1:5" x14ac:dyDescent="0.25">
      <c r="A8" s="1" t="s">
        <v>6</v>
      </c>
      <c r="B8" s="1" t="str">
        <f>IFERROR(INDEX(datos!B3:B6,MATCH(A8,datos!A3:A14,0)),"")</f>
        <v>AGRO</v>
      </c>
      <c r="C8" s="1" t="str">
        <f>INDEX(datos!$C$2:$C$5,MATCH(lol!A8,datos!$A$2:$A$5))</f>
        <v>SEPTIMO</v>
      </c>
      <c r="D8" s="5">
        <v>20</v>
      </c>
      <c r="E8" s="1" t="str">
        <f t="shared" ref="E8:E10" si="0">IF(D8&gt;=20,"APRUEBA","REPRUEBA")</f>
        <v>APRUEBA</v>
      </c>
    </row>
    <row r="9" spans="1:5" x14ac:dyDescent="0.25">
      <c r="A9" s="1" t="s">
        <v>7</v>
      </c>
      <c r="B9" s="1" t="str">
        <f>IFERROR(INDEX(datos!B4:B7,MATCH(A9,datos!A4:A15,0)),"")</f>
        <v>BIO</v>
      </c>
      <c r="C9" s="1" t="str">
        <f>INDEX(datos!$C$2:$C$5,MATCH(lol!A9,datos!$A$2:$A$5))</f>
        <v>SEGUNDO</v>
      </c>
      <c r="D9" s="5">
        <v>14</v>
      </c>
      <c r="E9" s="1" t="str">
        <f t="shared" si="0"/>
        <v>REPRUEBA</v>
      </c>
    </row>
    <row r="10" spans="1:5" x14ac:dyDescent="0.25">
      <c r="A10" s="1" t="s">
        <v>8</v>
      </c>
      <c r="B10" s="1" t="str">
        <f>IFERROR(INDEX(datos!B5:B8,MATCH(A10,datos!A5:A16,0)),"")</f>
        <v>ITIN</v>
      </c>
      <c r="C10" s="1" t="str">
        <f>INDEX(datos!$C$2:$C$5,MATCH(lol!A10,datos!$A$2:$A$5,0))</f>
        <v>SEGUNDO</v>
      </c>
      <c r="D10" s="5">
        <v>16</v>
      </c>
      <c r="E10" s="1" t="str">
        <f t="shared" si="0"/>
        <v>REPRUEBA</v>
      </c>
    </row>
  </sheetData>
  <mergeCells count="1">
    <mergeCell ref="A1:A2"/>
  </mergeCells>
  <dataValidations count="1">
    <dataValidation type="decimal" allowBlank="1" showInputMessage="1" showErrorMessage="1" prompt="SOLO PUEDE INGRSAR DE 0 A 20" sqref="D7:D10" xr:uid="{2181D67B-D36D-4742-8748-CDEBAA1716BC}">
      <formula1>0</formula1>
      <formula2>20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ro5">
                <anchor moveWithCells="1" sizeWithCells="1">
                  <from>
                    <xdr:col>1</xdr:col>
                    <xdr:colOff>485775</xdr:colOff>
                    <xdr:row>1</xdr:row>
                    <xdr:rowOff>142875</xdr:rowOff>
                  </from>
                  <to>
                    <xdr:col>2</xdr:col>
                    <xdr:colOff>657225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cro6">
                <anchor moveWithCells="1" sizeWithCells="1">
                  <from>
                    <xdr:col>3</xdr:col>
                    <xdr:colOff>133350</xdr:colOff>
                    <xdr:row>1</xdr:row>
                    <xdr:rowOff>171450</xdr:rowOff>
                  </from>
                  <to>
                    <xdr:col>4</xdr:col>
                    <xdr:colOff>190500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ódulo2.noselas">
                <anchor moveWithCells="1" sizeWithCells="1">
                  <from>
                    <xdr:col>4</xdr:col>
                    <xdr:colOff>419100</xdr:colOff>
                    <xdr:row>1</xdr:row>
                    <xdr:rowOff>171450</xdr:rowOff>
                  </from>
                  <to>
                    <xdr:col>5</xdr:col>
                    <xdr:colOff>533400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762F3EC-7C56-4351-A0DF-E23FDBE55A28}">
          <x14:formula1>
            <xm:f>datos!$A$2:$A$5</xm:f>
          </x14:formula1>
          <xm:sqref>A7:A10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B4A5-66DD-4AA9-94F0-3D5648B406F9}">
  <sheetPr codeName="Hoja2"/>
  <dimension ref="A1:C5"/>
  <sheetViews>
    <sheetView workbookViewId="0">
      <selection activeCell="B5" sqref="B5"/>
    </sheetView>
  </sheetViews>
  <sheetFormatPr baseColWidth="10" defaultRowHeight="15" x14ac:dyDescent="0.25"/>
  <cols>
    <col min="1" max="1" width="17.5703125" customWidth="1"/>
  </cols>
  <sheetData>
    <row r="1" spans="1:3" x14ac:dyDescent="0.25">
      <c r="A1" s="3" t="s">
        <v>1</v>
      </c>
      <c r="B1" s="3" t="s">
        <v>2</v>
      </c>
      <c r="C1" s="3" t="s">
        <v>3</v>
      </c>
    </row>
    <row r="2" spans="1:3" x14ac:dyDescent="0.25">
      <c r="A2" t="s">
        <v>5</v>
      </c>
      <c r="B2" t="s">
        <v>9</v>
      </c>
      <c r="C2" t="s">
        <v>12</v>
      </c>
    </row>
    <row r="3" spans="1:3" x14ac:dyDescent="0.25">
      <c r="A3" t="s">
        <v>6</v>
      </c>
      <c r="B3" t="s">
        <v>10</v>
      </c>
      <c r="C3" t="s">
        <v>13</v>
      </c>
    </row>
    <row r="4" spans="1:3" x14ac:dyDescent="0.25">
      <c r="A4" t="s">
        <v>7</v>
      </c>
      <c r="B4" t="s">
        <v>11</v>
      </c>
      <c r="C4" t="s">
        <v>14</v>
      </c>
    </row>
    <row r="5" spans="1:3" x14ac:dyDescent="0.25">
      <c r="A5" t="s">
        <v>8</v>
      </c>
      <c r="B5" t="s">
        <v>9</v>
      </c>
      <c r="C5" t="s">
        <v>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BECFC-1194-4F83-933C-A203ADED124F}">
  <sheetPr codeName="Hoja3"/>
  <dimension ref="A1:E43"/>
  <sheetViews>
    <sheetView topLeftCell="A34" workbookViewId="0">
      <selection activeCell="D16" sqref="D16"/>
    </sheetView>
  </sheetViews>
  <sheetFormatPr baseColWidth="10" defaultRowHeight="15" x14ac:dyDescent="0.25"/>
  <cols>
    <col min="1" max="1" width="18.140625" customWidth="1"/>
  </cols>
  <sheetData>
    <row r="1" spans="1:5" x14ac:dyDescent="0.25">
      <c r="A1" s="2" t="s">
        <v>1</v>
      </c>
      <c r="B1" s="2" t="s">
        <v>2</v>
      </c>
      <c r="C1" s="2" t="s">
        <v>3</v>
      </c>
      <c r="D1" s="2" t="s">
        <v>4</v>
      </c>
      <c r="E1" s="2" t="s">
        <v>15</v>
      </c>
    </row>
    <row r="2" spans="1:5" x14ac:dyDescent="0.25">
      <c r="A2" t="s">
        <v>6</v>
      </c>
      <c r="B2" t="s">
        <v>10</v>
      </c>
      <c r="C2" t="s">
        <v>13</v>
      </c>
    </row>
    <row r="3" spans="1:5" x14ac:dyDescent="0.25">
      <c r="A3" t="s">
        <v>6</v>
      </c>
      <c r="B3" t="s">
        <v>10</v>
      </c>
      <c r="C3" t="s">
        <v>13</v>
      </c>
      <c r="D3">
        <v>12</v>
      </c>
    </row>
    <row r="4" spans="1:5" x14ac:dyDescent="0.25">
      <c r="A4" t="s">
        <v>5</v>
      </c>
      <c r="B4" t="s">
        <v>9</v>
      </c>
      <c r="C4" t="s">
        <v>12</v>
      </c>
      <c r="D4">
        <v>12</v>
      </c>
      <c r="E4" t="s">
        <v>16</v>
      </c>
    </row>
    <row r="5" spans="1:5" x14ac:dyDescent="0.25">
      <c r="A5" t="s">
        <v>8</v>
      </c>
      <c r="B5" t="s">
        <v>9</v>
      </c>
      <c r="C5" t="s">
        <v>13</v>
      </c>
      <c r="D5">
        <v>20</v>
      </c>
      <c r="E5" t="s">
        <v>17</v>
      </c>
    </row>
    <row r="6" spans="1:5" x14ac:dyDescent="0.25">
      <c r="A6" t="s">
        <v>8</v>
      </c>
      <c r="B6" t="s">
        <v>9</v>
      </c>
      <c r="C6" t="s">
        <v>13</v>
      </c>
      <c r="D6">
        <v>13</v>
      </c>
      <c r="E6" t="s">
        <v>17</v>
      </c>
    </row>
    <row r="7" spans="1:5" x14ac:dyDescent="0.25">
      <c r="A7" t="s">
        <v>5</v>
      </c>
      <c r="B7" t="s">
        <v>9</v>
      </c>
      <c r="C7" t="s">
        <v>12</v>
      </c>
      <c r="D7">
        <v>10</v>
      </c>
      <c r="E7" t="s">
        <v>17</v>
      </c>
    </row>
    <row r="8" spans="1:5" x14ac:dyDescent="0.25">
      <c r="A8" t="s">
        <v>5</v>
      </c>
      <c r="B8" t="s">
        <v>9</v>
      </c>
      <c r="C8" t="s">
        <v>12</v>
      </c>
      <c r="D8">
        <v>10</v>
      </c>
      <c r="E8" t="s">
        <v>17</v>
      </c>
    </row>
    <row r="9" spans="1:5" x14ac:dyDescent="0.25">
      <c r="A9" t="s">
        <v>5</v>
      </c>
      <c r="B9" t="s">
        <v>9</v>
      </c>
      <c r="C9" t="s">
        <v>12</v>
      </c>
      <c r="D9">
        <v>10</v>
      </c>
      <c r="E9" t="s">
        <v>17</v>
      </c>
    </row>
    <row r="10" spans="1:5" x14ac:dyDescent="0.25">
      <c r="A10" t="s">
        <v>5</v>
      </c>
      <c r="B10" t="s">
        <v>9</v>
      </c>
      <c r="C10" t="s">
        <v>12</v>
      </c>
      <c r="D10">
        <v>10</v>
      </c>
      <c r="E10" t="s">
        <v>17</v>
      </c>
    </row>
    <row r="11" spans="1:5" x14ac:dyDescent="0.25">
      <c r="A11" t="s">
        <v>5</v>
      </c>
      <c r="B11" t="s">
        <v>9</v>
      </c>
      <c r="C11" t="s">
        <v>12</v>
      </c>
      <c r="D11">
        <v>20</v>
      </c>
      <c r="E11" t="s">
        <v>18</v>
      </c>
    </row>
    <row r="12" spans="1:5" x14ac:dyDescent="0.25">
      <c r="A12" t="s">
        <v>8</v>
      </c>
      <c r="B12" t="s">
        <v>9</v>
      </c>
      <c r="C12" t="s">
        <v>13</v>
      </c>
      <c r="D12">
        <v>13</v>
      </c>
      <c r="E12" t="s">
        <v>19</v>
      </c>
    </row>
    <row r="13" spans="1:5" x14ac:dyDescent="0.25">
      <c r="A13" t="s">
        <v>8</v>
      </c>
      <c r="B13" t="s">
        <v>9</v>
      </c>
      <c r="C13" t="s">
        <v>13</v>
      </c>
      <c r="D13">
        <v>20</v>
      </c>
      <c r="E13" t="s">
        <v>18</v>
      </c>
    </row>
    <row r="14" spans="1:5" x14ac:dyDescent="0.25">
      <c r="A14" t="s">
        <v>8</v>
      </c>
      <c r="B14" t="s">
        <v>9</v>
      </c>
      <c r="C14" t="s">
        <v>13</v>
      </c>
      <c r="D14">
        <v>20</v>
      </c>
      <c r="E14" t="s">
        <v>18</v>
      </c>
    </row>
    <row r="15" spans="1:5" x14ac:dyDescent="0.25">
      <c r="A15" t="s">
        <v>8</v>
      </c>
      <c r="B15" t="s">
        <v>9</v>
      </c>
      <c r="C15" t="s">
        <v>13</v>
      </c>
      <c r="D15">
        <v>20</v>
      </c>
      <c r="E15" t="s">
        <v>18</v>
      </c>
    </row>
    <row r="16" spans="1:5" x14ac:dyDescent="0.25">
      <c r="A16" t="s">
        <v>8</v>
      </c>
      <c r="B16" t="s">
        <v>9</v>
      </c>
      <c r="C16" t="s">
        <v>13</v>
      </c>
      <c r="D16">
        <v>20</v>
      </c>
      <c r="E16" t="s">
        <v>18</v>
      </c>
    </row>
    <row r="17" spans="1:5" x14ac:dyDescent="0.25">
      <c r="A17" t="s">
        <v>5</v>
      </c>
      <c r="B17" t="s">
        <v>9</v>
      </c>
      <c r="C17" t="s">
        <v>12</v>
      </c>
      <c r="D17">
        <v>1</v>
      </c>
      <c r="E17" t="s">
        <v>19</v>
      </c>
    </row>
    <row r="18" spans="1:5" x14ac:dyDescent="0.25">
      <c r="A18" t="s">
        <v>5</v>
      </c>
      <c r="B18" t="s">
        <v>9</v>
      </c>
      <c r="C18" t="s">
        <v>12</v>
      </c>
      <c r="D18">
        <v>1</v>
      </c>
      <c r="E18" t="s">
        <v>19</v>
      </c>
    </row>
    <row r="19" spans="1:5" x14ac:dyDescent="0.25">
      <c r="A19" t="s">
        <v>5</v>
      </c>
      <c r="B19" t="s">
        <v>9</v>
      </c>
      <c r="C19" t="s">
        <v>12</v>
      </c>
      <c r="D19">
        <v>1</v>
      </c>
      <c r="E19" t="s">
        <v>19</v>
      </c>
    </row>
    <row r="20" spans="1:5" x14ac:dyDescent="0.25">
      <c r="A20" t="s">
        <v>5</v>
      </c>
      <c r="B20" t="s">
        <v>9</v>
      </c>
      <c r="C20" t="s">
        <v>12</v>
      </c>
      <c r="D20">
        <v>1</v>
      </c>
      <c r="E20" t="s">
        <v>19</v>
      </c>
    </row>
    <row r="21" spans="1:5" x14ac:dyDescent="0.25">
      <c r="A21" t="s">
        <v>5</v>
      </c>
      <c r="B21" t="s">
        <v>9</v>
      </c>
      <c r="C21" t="s">
        <v>12</v>
      </c>
      <c r="D21">
        <v>1</v>
      </c>
      <c r="E21" t="s">
        <v>19</v>
      </c>
    </row>
    <row r="22" spans="1:5" x14ac:dyDescent="0.25">
      <c r="A22" t="s">
        <v>5</v>
      </c>
      <c r="B22" t="s">
        <v>9</v>
      </c>
      <c r="C22" t="s">
        <v>12</v>
      </c>
      <c r="D22">
        <v>1</v>
      </c>
      <c r="E22" t="s">
        <v>19</v>
      </c>
    </row>
    <row r="23" spans="1:5" x14ac:dyDescent="0.25">
      <c r="A23" t="s">
        <v>5</v>
      </c>
      <c r="B23" t="s">
        <v>9</v>
      </c>
      <c r="C23" t="s">
        <v>12</v>
      </c>
      <c r="D23">
        <v>1</v>
      </c>
      <c r="E23" t="s">
        <v>19</v>
      </c>
    </row>
    <row r="24" spans="1:5" x14ac:dyDescent="0.25">
      <c r="A24" t="s">
        <v>5</v>
      </c>
      <c r="B24" t="s">
        <v>9</v>
      </c>
      <c r="C24" t="s">
        <v>12</v>
      </c>
      <c r="D24">
        <v>1</v>
      </c>
      <c r="E24" t="s">
        <v>19</v>
      </c>
    </row>
    <row r="25" spans="1:5" x14ac:dyDescent="0.25">
      <c r="A25" t="s">
        <v>5</v>
      </c>
      <c r="B25" t="s">
        <v>9</v>
      </c>
      <c r="C25" t="s">
        <v>12</v>
      </c>
      <c r="D25">
        <v>1</v>
      </c>
      <c r="E25" t="s">
        <v>19</v>
      </c>
    </row>
    <row r="26" spans="1:5" x14ac:dyDescent="0.25">
      <c r="A26" t="s">
        <v>5</v>
      </c>
      <c r="B26" t="s">
        <v>9</v>
      </c>
      <c r="C26" t="s">
        <v>12</v>
      </c>
      <c r="D26">
        <v>1</v>
      </c>
      <c r="E26" t="s">
        <v>19</v>
      </c>
    </row>
    <row r="27" spans="1:5" x14ac:dyDescent="0.25">
      <c r="A27" t="s">
        <v>5</v>
      </c>
      <c r="B27" t="s">
        <v>9</v>
      </c>
      <c r="C27" t="s">
        <v>12</v>
      </c>
      <c r="D27">
        <v>1</v>
      </c>
      <c r="E27" t="s">
        <v>19</v>
      </c>
    </row>
    <row r="28" spans="1:5" x14ac:dyDescent="0.25">
      <c r="A28" t="s">
        <v>5</v>
      </c>
      <c r="B28" t="s">
        <v>9</v>
      </c>
      <c r="C28" t="s">
        <v>12</v>
      </c>
      <c r="D28">
        <v>1</v>
      </c>
      <c r="E28" t="s">
        <v>19</v>
      </c>
    </row>
    <row r="29" spans="1:5" x14ac:dyDescent="0.25">
      <c r="A29" t="s">
        <v>5</v>
      </c>
      <c r="B29" t="s">
        <v>9</v>
      </c>
      <c r="C29" t="s">
        <v>12</v>
      </c>
      <c r="D29">
        <v>1</v>
      </c>
      <c r="E29" t="s">
        <v>19</v>
      </c>
    </row>
    <row r="30" spans="1:5" x14ac:dyDescent="0.25">
      <c r="A30" t="s">
        <v>5</v>
      </c>
      <c r="B30" t="s">
        <v>9</v>
      </c>
      <c r="C30" t="s">
        <v>12</v>
      </c>
      <c r="D30">
        <v>1</v>
      </c>
      <c r="E30" t="s">
        <v>19</v>
      </c>
    </row>
    <row r="31" spans="1:5" x14ac:dyDescent="0.25">
      <c r="A31" t="s">
        <v>5</v>
      </c>
      <c r="B31" t="s">
        <v>9</v>
      </c>
      <c r="C31" t="s">
        <v>12</v>
      </c>
      <c r="D31">
        <v>1</v>
      </c>
      <c r="E31" t="s">
        <v>19</v>
      </c>
    </row>
    <row r="32" spans="1:5" x14ac:dyDescent="0.25">
      <c r="A32" t="s">
        <v>5</v>
      </c>
      <c r="B32" t="s">
        <v>9</v>
      </c>
      <c r="C32" t="s">
        <v>12</v>
      </c>
      <c r="D32">
        <v>1</v>
      </c>
      <c r="E32" t="s">
        <v>19</v>
      </c>
    </row>
    <row r="33" spans="1:5" x14ac:dyDescent="0.25">
      <c r="A33" t="s">
        <v>5</v>
      </c>
      <c r="B33" t="s">
        <v>9</v>
      </c>
      <c r="C33" t="s">
        <v>12</v>
      </c>
      <c r="D33">
        <v>1</v>
      </c>
      <c r="E33" t="s">
        <v>19</v>
      </c>
    </row>
    <row r="34" spans="1:5" x14ac:dyDescent="0.25">
      <c r="A34" t="s">
        <v>5</v>
      </c>
      <c r="B34" t="s">
        <v>9</v>
      </c>
      <c r="C34" t="s">
        <v>12</v>
      </c>
      <c r="D34">
        <v>1</v>
      </c>
      <c r="E34" t="s">
        <v>19</v>
      </c>
    </row>
    <row r="35" spans="1:5" x14ac:dyDescent="0.25">
      <c r="A35" t="s">
        <v>5</v>
      </c>
      <c r="B35" t="s">
        <v>9</v>
      </c>
      <c r="C35" t="s">
        <v>12</v>
      </c>
      <c r="D35">
        <v>1</v>
      </c>
      <c r="E35" t="s">
        <v>19</v>
      </c>
    </row>
    <row r="36" spans="1:5" x14ac:dyDescent="0.25">
      <c r="A36" t="s">
        <v>5</v>
      </c>
      <c r="B36" t="s">
        <v>9</v>
      </c>
      <c r="C36" t="s">
        <v>12</v>
      </c>
      <c r="D36">
        <v>1</v>
      </c>
      <c r="E36" t="s">
        <v>19</v>
      </c>
    </row>
    <row r="37" spans="1:5" x14ac:dyDescent="0.25">
      <c r="A37" t="s">
        <v>5</v>
      </c>
      <c r="B37" t="s">
        <v>9</v>
      </c>
      <c r="C37" t="s">
        <v>12</v>
      </c>
      <c r="D37">
        <v>1</v>
      </c>
      <c r="E37" t="s">
        <v>19</v>
      </c>
    </row>
    <row r="38" spans="1:5" x14ac:dyDescent="0.25">
      <c r="A38" t="s">
        <v>5</v>
      </c>
      <c r="B38" t="s">
        <v>9</v>
      </c>
      <c r="C38" t="s">
        <v>12</v>
      </c>
      <c r="D38">
        <v>1</v>
      </c>
      <c r="E38" t="s">
        <v>19</v>
      </c>
    </row>
    <row r="39" spans="1:5" x14ac:dyDescent="0.25">
      <c r="A39" t="s">
        <v>5</v>
      </c>
      <c r="B39" t="s">
        <v>9</v>
      </c>
      <c r="C39" t="s">
        <v>12</v>
      </c>
      <c r="D39">
        <v>1</v>
      </c>
      <c r="E39" t="s">
        <v>19</v>
      </c>
    </row>
    <row r="40" spans="1:5" x14ac:dyDescent="0.25">
      <c r="A40" t="s">
        <v>5</v>
      </c>
      <c r="B40" t="s">
        <v>9</v>
      </c>
      <c r="C40" t="s">
        <v>12</v>
      </c>
      <c r="D40">
        <v>1</v>
      </c>
      <c r="E40" t="s">
        <v>19</v>
      </c>
    </row>
    <row r="41" spans="1:5" x14ac:dyDescent="0.25">
      <c r="A41" t="s">
        <v>5</v>
      </c>
      <c r="B41" t="s">
        <v>9</v>
      </c>
      <c r="C41" t="s">
        <v>12</v>
      </c>
      <c r="D41">
        <v>1</v>
      </c>
      <c r="E41" t="s">
        <v>19</v>
      </c>
    </row>
    <row r="42" spans="1:5" x14ac:dyDescent="0.25">
      <c r="A42" t="s">
        <v>5</v>
      </c>
      <c r="B42" t="s">
        <v>9</v>
      </c>
      <c r="C42" t="s">
        <v>12</v>
      </c>
      <c r="D42">
        <v>1</v>
      </c>
      <c r="E42" t="s">
        <v>19</v>
      </c>
    </row>
    <row r="43" spans="1:5" x14ac:dyDescent="0.25">
      <c r="A43" t="s">
        <v>5</v>
      </c>
      <c r="B43" t="s">
        <v>9</v>
      </c>
      <c r="C43" t="s">
        <v>12</v>
      </c>
      <c r="D43">
        <v>1</v>
      </c>
      <c r="E43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lol</vt:lpstr>
      <vt:lpstr>datos</vt:lpstr>
      <vt:lpstr>RESUMEN_NOTAS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ESPE-SD</dc:creator>
  <cp:lastModifiedBy>ESPE-SD</cp:lastModifiedBy>
  <dcterms:created xsi:type="dcterms:W3CDTF">2026-04-23T12:18:14Z</dcterms:created>
  <dcterms:modified xsi:type="dcterms:W3CDTF">2026-04-23T13:57:56Z</dcterms:modified>
</cp:coreProperties>
</file>